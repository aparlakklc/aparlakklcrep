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Zaman Serisi Veri Seti" sheetId="1" state="visible" r:id="rId1"/>
    <sheet xmlns:r="http://schemas.openxmlformats.org/officeDocument/2006/relationships" name="Analitik Öze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Segoe UI"/>
      <b val="1"/>
      <color rgb="001F497D"/>
      <sz val="16"/>
    </font>
    <font>
      <name val="Segoe UI"/>
      <i val="1"/>
      <color rgb="00595959"/>
      <sz val="10"/>
    </font>
    <font>
      <name val="Segoe UI"/>
      <b val="1"/>
      <color rgb="00FFFFFF"/>
      <sz val="11"/>
    </font>
    <font>
      <name val="Segoe UI"/>
      <sz val="10"/>
    </font>
    <font>
      <name val="Segoe UI"/>
      <b val="1"/>
      <sz val="10"/>
    </font>
  </fonts>
  <fills count="4">
    <fill>
      <patternFill/>
    </fill>
    <fill>
      <patternFill patternType="gray125"/>
    </fill>
    <fill>
      <patternFill patternType="solid">
        <fgColor rgb="001F497D"/>
        <bgColor rgb="001F497D"/>
      </patternFill>
    </fill>
    <fill>
      <patternFill patternType="solid">
        <fgColor rgb="00F2F5F8"/>
        <bgColor rgb="00F2F5F8"/>
      </patternFill>
    </fill>
  </fills>
  <borders count="3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top style="thin">
        <color rgb="001F497D"/>
      </top>
      <bottom style="double">
        <color rgb="001F497D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left" vertical="center"/>
    </xf>
    <xf numFmtId="3" fontId="4" fillId="3" borderId="1" applyAlignment="1" pivotButton="0" quotePrefix="0" xfId="0">
      <alignment horizontal="center"/>
    </xf>
    <xf numFmtId="0" fontId="4" fillId="3" borderId="1" applyAlignment="1" pivotButton="0" quotePrefix="0" xfId="0">
      <alignment horizontal="left"/>
    </xf>
    <xf numFmtId="3" fontId="4" fillId="3" borderId="1" applyAlignment="1" pivotButton="0" quotePrefix="0" xfId="0">
      <alignment horizontal="right"/>
    </xf>
    <xf numFmtId="3" fontId="4" fillId="0" borderId="1" applyAlignment="1" pivotButton="0" quotePrefix="0" xfId="0">
      <alignment horizontal="center"/>
    </xf>
    <xf numFmtId="0" fontId="4" fillId="0" borderId="1" applyAlignment="1" pivotButton="0" quotePrefix="0" xfId="0">
      <alignment horizontal="left"/>
    </xf>
    <xf numFmtId="3" fontId="4" fillId="0" borderId="1" applyAlignment="1" pivotButton="0" quotePrefix="0" xfId="0">
      <alignment horizontal="right"/>
    </xf>
    <xf numFmtId="0" fontId="5" fillId="0" borderId="2" pivotButton="0" quotePrefix="0" xfId="0"/>
    <xf numFmtId="0" fontId="0" fillId="0" borderId="2" pivotButton="0" quotePrefix="0" xfId="0"/>
    <xf numFmtId="3" fontId="5" fillId="0" borderId="2" applyAlignment="1" pivotButton="0" quotePrefix="0" xfId="0">
      <alignment horizontal="right"/>
    </xf>
    <xf numFmtId="0" fontId="3" fillId="2" borderId="0" applyAlignment="1" pivotButton="0" quotePrefix="0" xfId="0">
      <alignment horizontal="left"/>
    </xf>
    <xf numFmtId="0" fontId="3" fillId="2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7"/>
  <sheetViews>
    <sheetView showGridLines="1" workbookViewId="0">
      <selection activeCell="A1" sqref="A1"/>
    </sheetView>
  </sheetViews>
  <sheetFormatPr baseColWidth="8" defaultRowHeight="15"/>
  <cols>
    <col width="63" customWidth="1" min="1" max="1"/>
    <col width="12" customWidth="1" min="2" max="2"/>
    <col width="13" customWidth="1" min="3" max="3"/>
    <col width="25" customWidth="1" min="4" max="4"/>
  </cols>
  <sheetData>
    <row r="1">
      <c r="A1" s="1" t="inlineStr">
        <is>
          <t>Türkiye Yapay Zekâ Enerji Tüketimi Zaman Serisi Veri Seti</t>
        </is>
      </c>
    </row>
    <row r="2">
      <c r="A2" s="2" t="inlineStr">
        <is>
          <t>Dönem: 2020 - 2025 (72 Aylık Sentetik Model Analizi Verisi)</t>
        </is>
      </c>
    </row>
    <row r="3"/>
    <row r="4">
      <c r="A4" s="3" t="inlineStr">
        <is>
          <t>Yıl</t>
        </is>
      </c>
      <c r="B4" s="4" t="inlineStr">
        <is>
          <t>Ay</t>
        </is>
      </c>
      <c r="C4" s="3" t="inlineStr">
        <is>
          <t>Dönem (t)</t>
        </is>
      </c>
      <c r="D4" s="3" t="inlineStr">
        <is>
          <t>Enerji Tüketimi (MWh)</t>
        </is>
      </c>
    </row>
    <row r="5">
      <c r="A5" s="5" t="n">
        <v>2020</v>
      </c>
      <c r="B5" s="6" t="inlineStr">
        <is>
          <t>Ocak</t>
        </is>
      </c>
      <c r="C5" s="5" t="n">
        <v>1</v>
      </c>
      <c r="D5" s="7" t="n">
        <v>1240</v>
      </c>
    </row>
    <row r="6">
      <c r="A6" s="5" t="n">
        <v>2020</v>
      </c>
      <c r="B6" s="6" t="inlineStr">
        <is>
          <t>Şubat</t>
        </is>
      </c>
      <c r="C6" s="5" t="n">
        <v>2</v>
      </c>
      <c r="D6" s="7" t="n">
        <v>1210</v>
      </c>
    </row>
    <row r="7">
      <c r="A7" s="5" t="n">
        <v>2020</v>
      </c>
      <c r="B7" s="6" t="inlineStr">
        <is>
          <t>Mart</t>
        </is>
      </c>
      <c r="C7" s="5" t="n">
        <v>3</v>
      </c>
      <c r="D7" s="7" t="n">
        <v>1280</v>
      </c>
    </row>
    <row r="8">
      <c r="A8" s="5" t="n">
        <v>2020</v>
      </c>
      <c r="B8" s="6" t="inlineStr">
        <is>
          <t>Nisan</t>
        </is>
      </c>
      <c r="C8" s="5" t="n">
        <v>4</v>
      </c>
      <c r="D8" s="7" t="n">
        <v>1350</v>
      </c>
    </row>
    <row r="9">
      <c r="A9" s="5" t="n">
        <v>2020</v>
      </c>
      <c r="B9" s="6" t="inlineStr">
        <is>
          <t>Mayıs</t>
        </is>
      </c>
      <c r="C9" s="5" t="n">
        <v>5</v>
      </c>
      <c r="D9" s="7" t="n">
        <v>1410</v>
      </c>
    </row>
    <row r="10">
      <c r="A10" s="5" t="n">
        <v>2020</v>
      </c>
      <c r="B10" s="6" t="inlineStr">
        <is>
          <t>Haziran</t>
        </is>
      </c>
      <c r="C10" s="5" t="n">
        <v>6</v>
      </c>
      <c r="D10" s="7" t="n">
        <v>1580</v>
      </c>
    </row>
    <row r="11">
      <c r="A11" s="5" t="n">
        <v>2020</v>
      </c>
      <c r="B11" s="6" t="inlineStr">
        <is>
          <t>Temmuz</t>
        </is>
      </c>
      <c r="C11" s="5" t="n">
        <v>7</v>
      </c>
      <c r="D11" s="7" t="n">
        <v>1720</v>
      </c>
    </row>
    <row r="12">
      <c r="A12" s="5" t="n">
        <v>2020</v>
      </c>
      <c r="B12" s="6" t="inlineStr">
        <is>
          <t>Ağustos</t>
        </is>
      </c>
      <c r="C12" s="5" t="n">
        <v>8</v>
      </c>
      <c r="D12" s="7" t="n">
        <v>1750</v>
      </c>
    </row>
    <row r="13">
      <c r="A13" s="5" t="n">
        <v>2020</v>
      </c>
      <c r="B13" s="6" t="inlineStr">
        <is>
          <t>Eylül</t>
        </is>
      </c>
      <c r="C13" s="5" t="n">
        <v>9</v>
      </c>
      <c r="D13" s="7" t="n">
        <v>1520</v>
      </c>
    </row>
    <row r="14">
      <c r="A14" s="5" t="n">
        <v>2020</v>
      </c>
      <c r="B14" s="6" t="inlineStr">
        <is>
          <t>Ekim</t>
        </is>
      </c>
      <c r="C14" s="5" t="n">
        <v>10</v>
      </c>
      <c r="D14" s="7" t="n">
        <v>1440</v>
      </c>
    </row>
    <row r="15">
      <c r="A15" s="5" t="n">
        <v>2020</v>
      </c>
      <c r="B15" s="6" t="inlineStr">
        <is>
          <t>Kasım</t>
        </is>
      </c>
      <c r="C15" s="5" t="n">
        <v>11</v>
      </c>
      <c r="D15" s="7" t="n">
        <v>1480</v>
      </c>
    </row>
    <row r="16">
      <c r="A16" s="5" t="n">
        <v>2020</v>
      </c>
      <c r="B16" s="6" t="inlineStr">
        <is>
          <t>Aralık</t>
        </is>
      </c>
      <c r="C16" s="5" t="n">
        <v>12</v>
      </c>
      <c r="D16" s="7" t="n">
        <v>1550</v>
      </c>
    </row>
    <row r="17">
      <c r="A17" s="8" t="n">
        <v>2021</v>
      </c>
      <c r="B17" s="9" t="inlineStr">
        <is>
          <t>Ocak</t>
        </is>
      </c>
      <c r="C17" s="8" t="n">
        <v>13</v>
      </c>
      <c r="D17" s="10" t="n">
        <v>1620</v>
      </c>
    </row>
    <row r="18">
      <c r="A18" s="8" t="n">
        <v>2021</v>
      </c>
      <c r="B18" s="9" t="inlineStr">
        <is>
          <t>Şubat</t>
        </is>
      </c>
      <c r="C18" s="8" t="n">
        <v>14</v>
      </c>
      <c r="D18" s="10" t="n">
        <v>1590</v>
      </c>
    </row>
    <row r="19">
      <c r="A19" s="8" t="n">
        <v>2021</v>
      </c>
      <c r="B19" s="9" t="inlineStr">
        <is>
          <t>Mart</t>
        </is>
      </c>
      <c r="C19" s="8" t="n">
        <v>15</v>
      </c>
      <c r="D19" s="10" t="n">
        <v>1680</v>
      </c>
    </row>
    <row r="20">
      <c r="A20" s="8" t="n">
        <v>2021</v>
      </c>
      <c r="B20" s="9" t="inlineStr">
        <is>
          <t>Nisan</t>
        </is>
      </c>
      <c r="C20" s="8" t="n">
        <v>16</v>
      </c>
      <c r="D20" s="10" t="n">
        <v>1740</v>
      </c>
    </row>
    <row r="21">
      <c r="A21" s="8" t="n">
        <v>2021</v>
      </c>
      <c r="B21" s="9" t="inlineStr">
        <is>
          <t>Mayıs</t>
        </is>
      </c>
      <c r="C21" s="8" t="n">
        <v>17</v>
      </c>
      <c r="D21" s="10" t="n">
        <v>1810</v>
      </c>
    </row>
    <row r="22">
      <c r="A22" s="8" t="n">
        <v>2021</v>
      </c>
      <c r="B22" s="9" t="inlineStr">
        <is>
          <t>Haziran</t>
        </is>
      </c>
      <c r="C22" s="8" t="n">
        <v>18</v>
      </c>
      <c r="D22" s="10" t="n">
        <v>2050</v>
      </c>
    </row>
    <row r="23">
      <c r="A23" s="8" t="n">
        <v>2021</v>
      </c>
      <c r="B23" s="9" t="inlineStr">
        <is>
          <t>Temmuz</t>
        </is>
      </c>
      <c r="C23" s="8" t="n">
        <v>19</v>
      </c>
      <c r="D23" s="10" t="n">
        <v>2210</v>
      </c>
    </row>
    <row r="24">
      <c r="A24" s="8" t="n">
        <v>2021</v>
      </c>
      <c r="B24" s="9" t="inlineStr">
        <is>
          <t>Ağustos</t>
        </is>
      </c>
      <c r="C24" s="8" t="n">
        <v>20</v>
      </c>
      <c r="D24" s="10" t="n">
        <v>2260</v>
      </c>
    </row>
    <row r="25">
      <c r="A25" s="8" t="n">
        <v>2021</v>
      </c>
      <c r="B25" s="9" t="inlineStr">
        <is>
          <t>Eylül</t>
        </is>
      </c>
      <c r="C25" s="8" t="n">
        <v>21</v>
      </c>
      <c r="D25" s="10" t="n">
        <v>1980</v>
      </c>
    </row>
    <row r="26">
      <c r="A26" s="8" t="n">
        <v>2021</v>
      </c>
      <c r="B26" s="9" t="inlineStr">
        <is>
          <t>Ekim</t>
        </is>
      </c>
      <c r="C26" s="8" t="n">
        <v>22</v>
      </c>
      <c r="D26" s="10" t="n">
        <v>1890</v>
      </c>
    </row>
    <row r="27">
      <c r="A27" s="8" t="n">
        <v>2021</v>
      </c>
      <c r="B27" s="9" t="inlineStr">
        <is>
          <t>Kasım</t>
        </is>
      </c>
      <c r="C27" s="8" t="n">
        <v>23</v>
      </c>
      <c r="D27" s="10" t="n">
        <v>1940</v>
      </c>
    </row>
    <row r="28">
      <c r="A28" s="8" t="n">
        <v>2021</v>
      </c>
      <c r="B28" s="9" t="inlineStr">
        <is>
          <t>Aralık</t>
        </is>
      </c>
      <c r="C28" s="8" t="n">
        <v>24</v>
      </c>
      <c r="D28" s="10" t="n">
        <v>2020</v>
      </c>
    </row>
    <row r="29">
      <c r="A29" s="5" t="n">
        <v>2022</v>
      </c>
      <c r="B29" s="6" t="inlineStr">
        <is>
          <t>Ocak</t>
        </is>
      </c>
      <c r="C29" s="5" t="n">
        <v>25</v>
      </c>
      <c r="D29" s="7" t="n">
        <v>2150</v>
      </c>
    </row>
    <row r="30">
      <c r="A30" s="5" t="n">
        <v>2022</v>
      </c>
      <c r="B30" s="6" t="inlineStr">
        <is>
          <t>Şubat</t>
        </is>
      </c>
      <c r="C30" s="5" t="n">
        <v>26</v>
      </c>
      <c r="D30" s="7" t="n">
        <v>2110</v>
      </c>
    </row>
    <row r="31">
      <c r="A31" s="5" t="n">
        <v>2022</v>
      </c>
      <c r="B31" s="6" t="inlineStr">
        <is>
          <t>Mart</t>
        </is>
      </c>
      <c r="C31" s="5" t="n">
        <v>27</v>
      </c>
      <c r="D31" s="7" t="n">
        <v>2240</v>
      </c>
    </row>
    <row r="32">
      <c r="A32" s="5" t="n">
        <v>2022</v>
      </c>
      <c r="B32" s="6" t="inlineStr">
        <is>
          <t>Nisan</t>
        </is>
      </c>
      <c r="C32" s="5" t="n">
        <v>28</v>
      </c>
      <c r="D32" s="7" t="n">
        <v>2320</v>
      </c>
    </row>
    <row r="33">
      <c r="A33" s="5" t="n">
        <v>2022</v>
      </c>
      <c r="B33" s="6" t="inlineStr">
        <is>
          <t>Mayıs</t>
        </is>
      </c>
      <c r="C33" s="5" t="n">
        <v>29</v>
      </c>
      <c r="D33" s="7" t="n">
        <v>2450</v>
      </c>
    </row>
    <row r="34">
      <c r="A34" s="5" t="n">
        <v>2022</v>
      </c>
      <c r="B34" s="6" t="inlineStr">
        <is>
          <t>Haziran</t>
        </is>
      </c>
      <c r="C34" s="5" t="n">
        <v>30</v>
      </c>
      <c r="D34" s="7" t="n">
        <v>2780</v>
      </c>
    </row>
    <row r="35">
      <c r="A35" s="5" t="n">
        <v>2022</v>
      </c>
      <c r="B35" s="6" t="inlineStr">
        <is>
          <t>Temmuz</t>
        </is>
      </c>
      <c r="C35" s="5" t="n">
        <v>31</v>
      </c>
      <c r="D35" s="7" t="n">
        <v>3020</v>
      </c>
    </row>
    <row r="36">
      <c r="A36" s="5" t="n">
        <v>2022</v>
      </c>
      <c r="B36" s="6" t="inlineStr">
        <is>
          <t>Ağustos</t>
        </is>
      </c>
      <c r="C36" s="5" t="n">
        <v>32</v>
      </c>
      <c r="D36" s="7" t="n">
        <v>3080</v>
      </c>
    </row>
    <row r="37">
      <c r="A37" s="5" t="n">
        <v>2022</v>
      </c>
      <c r="B37" s="6" t="inlineStr">
        <is>
          <t>Eylül</t>
        </is>
      </c>
      <c r="C37" s="5" t="n">
        <v>33</v>
      </c>
      <c r="D37" s="7" t="n">
        <v>2680</v>
      </c>
    </row>
    <row r="38">
      <c r="A38" s="5" t="n">
        <v>2022</v>
      </c>
      <c r="B38" s="6" t="inlineStr">
        <is>
          <t>Ekim</t>
        </is>
      </c>
      <c r="C38" s="5" t="n">
        <v>34</v>
      </c>
      <c r="D38" s="7" t="n">
        <v>2550</v>
      </c>
    </row>
    <row r="39">
      <c r="A39" s="5" t="n">
        <v>2022</v>
      </c>
      <c r="B39" s="6" t="inlineStr">
        <is>
          <t>Kasım</t>
        </is>
      </c>
      <c r="C39" s="5" t="n">
        <v>35</v>
      </c>
      <c r="D39" s="7" t="n">
        <v>2640</v>
      </c>
    </row>
    <row r="40">
      <c r="A40" s="5" t="n">
        <v>2022</v>
      </c>
      <c r="B40" s="6" t="inlineStr">
        <is>
          <t>Aralık</t>
        </is>
      </c>
      <c r="C40" s="5" t="n">
        <v>36</v>
      </c>
      <c r="D40" s="7" t="n">
        <v>2750</v>
      </c>
    </row>
    <row r="41">
      <c r="A41" s="8" t="n">
        <v>2023</v>
      </c>
      <c r="B41" s="9" t="inlineStr">
        <is>
          <t>Ocak</t>
        </is>
      </c>
      <c r="C41" s="8" t="n">
        <v>37</v>
      </c>
      <c r="D41" s="10" t="n">
        <v>2950</v>
      </c>
    </row>
    <row r="42">
      <c r="A42" s="8" t="n">
        <v>2023</v>
      </c>
      <c r="B42" s="9" t="inlineStr">
        <is>
          <t>Şubat</t>
        </is>
      </c>
      <c r="C42" s="8" t="n">
        <v>38</v>
      </c>
      <c r="D42" s="10" t="n">
        <v>2880</v>
      </c>
    </row>
    <row r="43">
      <c r="A43" s="8" t="n">
        <v>2023</v>
      </c>
      <c r="B43" s="9" t="inlineStr">
        <is>
          <t>Mart</t>
        </is>
      </c>
      <c r="C43" s="8" t="n">
        <v>39</v>
      </c>
      <c r="D43" s="10" t="n">
        <v>3120</v>
      </c>
    </row>
    <row r="44">
      <c r="A44" s="8" t="n">
        <v>2023</v>
      </c>
      <c r="B44" s="9" t="inlineStr">
        <is>
          <t>Nisan</t>
        </is>
      </c>
      <c r="C44" s="8" t="n">
        <v>40</v>
      </c>
      <c r="D44" s="10" t="n">
        <v>3250</v>
      </c>
    </row>
    <row r="45">
      <c r="A45" s="8" t="n">
        <v>2023</v>
      </c>
      <c r="B45" s="9" t="inlineStr">
        <is>
          <t>Mayıs</t>
        </is>
      </c>
      <c r="C45" s="8" t="n">
        <v>41</v>
      </c>
      <c r="D45" s="10" t="n">
        <v>3480</v>
      </c>
    </row>
    <row r="46">
      <c r="A46" s="8" t="n">
        <v>2023</v>
      </c>
      <c r="B46" s="9" t="inlineStr">
        <is>
          <t>Haziran</t>
        </is>
      </c>
      <c r="C46" s="8" t="n">
        <v>42</v>
      </c>
      <c r="D46" s="10" t="n">
        <v>4100</v>
      </c>
    </row>
    <row r="47">
      <c r="A47" s="8" t="n">
        <v>2023</v>
      </c>
      <c r="B47" s="9" t="inlineStr">
        <is>
          <t>Temmuz</t>
        </is>
      </c>
      <c r="C47" s="8" t="n">
        <v>43</v>
      </c>
      <c r="D47" s="10" t="n">
        <v>4520</v>
      </c>
    </row>
    <row r="48">
      <c r="A48" s="8" t="n">
        <v>2023</v>
      </c>
      <c r="B48" s="9" t="inlineStr">
        <is>
          <t>Ağustos</t>
        </is>
      </c>
      <c r="C48" s="8" t="n">
        <v>44</v>
      </c>
      <c r="D48" s="10" t="n">
        <v>4650</v>
      </c>
    </row>
    <row r="49">
      <c r="A49" s="8" t="n">
        <v>2023</v>
      </c>
      <c r="B49" s="9" t="inlineStr">
        <is>
          <t>Eylül</t>
        </is>
      </c>
      <c r="C49" s="8" t="n">
        <v>45</v>
      </c>
      <c r="D49" s="10" t="n">
        <v>3980</v>
      </c>
    </row>
    <row r="50">
      <c r="A50" s="8" t="n">
        <v>2023</v>
      </c>
      <c r="B50" s="9" t="inlineStr">
        <is>
          <t>Ekim</t>
        </is>
      </c>
      <c r="C50" s="8" t="n">
        <v>46</v>
      </c>
      <c r="D50" s="10" t="n">
        <v>3750</v>
      </c>
    </row>
    <row r="51">
      <c r="A51" s="8" t="n">
        <v>2023</v>
      </c>
      <c r="B51" s="9" t="inlineStr">
        <is>
          <t>Kasım</t>
        </is>
      </c>
      <c r="C51" s="8" t="n">
        <v>47</v>
      </c>
      <c r="D51" s="10" t="n">
        <v>3920</v>
      </c>
    </row>
    <row r="52">
      <c r="A52" s="8" t="n">
        <v>2023</v>
      </c>
      <c r="B52" s="9" t="inlineStr">
        <is>
          <t>Aralık</t>
        </is>
      </c>
      <c r="C52" s="8" t="n">
        <v>48</v>
      </c>
      <c r="D52" s="10" t="n">
        <v>4150</v>
      </c>
    </row>
    <row r="53">
      <c r="A53" s="5" t="n">
        <v>2024</v>
      </c>
      <c r="B53" s="6" t="inlineStr">
        <is>
          <t>Ocak</t>
        </is>
      </c>
      <c r="C53" s="5" t="n">
        <v>49</v>
      </c>
      <c r="D53" s="7" t="n">
        <v>4500</v>
      </c>
    </row>
    <row r="54">
      <c r="A54" s="5" t="n">
        <v>2024</v>
      </c>
      <c r="B54" s="6" t="inlineStr">
        <is>
          <t>Şubat</t>
        </is>
      </c>
      <c r="C54" s="5" t="n">
        <v>50</v>
      </c>
      <c r="D54" s="7" t="n">
        <v>4420</v>
      </c>
    </row>
    <row r="55">
      <c r="A55" s="5" t="n">
        <v>2024</v>
      </c>
      <c r="B55" s="6" t="inlineStr">
        <is>
          <t>Mart</t>
        </is>
      </c>
      <c r="C55" s="5" t="n">
        <v>51</v>
      </c>
      <c r="D55" s="7" t="n">
        <v>4850</v>
      </c>
    </row>
    <row r="56">
      <c r="A56" s="5" t="n">
        <v>2024</v>
      </c>
      <c r="B56" s="6" t="inlineStr">
        <is>
          <t>Nisan</t>
        </is>
      </c>
      <c r="C56" s="5" t="n">
        <v>52</v>
      </c>
      <c r="D56" s="7" t="n">
        <v>5100</v>
      </c>
    </row>
    <row r="57">
      <c r="A57" s="5" t="n">
        <v>2024</v>
      </c>
      <c r="B57" s="6" t="inlineStr">
        <is>
          <t>Mayıs</t>
        </is>
      </c>
      <c r="C57" s="5" t="n">
        <v>53</v>
      </c>
      <c r="D57" s="7" t="n">
        <v>5600</v>
      </c>
    </row>
    <row r="58">
      <c r="A58" s="5" t="n">
        <v>2024</v>
      </c>
      <c r="B58" s="6" t="inlineStr">
        <is>
          <t>Haziran</t>
        </is>
      </c>
      <c r="C58" s="5" t="n">
        <v>54</v>
      </c>
      <c r="D58" s="7" t="n">
        <v>6800</v>
      </c>
    </row>
    <row r="59">
      <c r="A59" s="5" t="n">
        <v>2024</v>
      </c>
      <c r="B59" s="6" t="inlineStr">
        <is>
          <t>Temmuz</t>
        </is>
      </c>
      <c r="C59" s="5" t="n">
        <v>55</v>
      </c>
      <c r="D59" s="7" t="n">
        <v>7650</v>
      </c>
    </row>
    <row r="60">
      <c r="A60" s="5" t="n">
        <v>2024</v>
      </c>
      <c r="B60" s="6" t="inlineStr">
        <is>
          <t>Ağustos</t>
        </is>
      </c>
      <c r="C60" s="5" t="n">
        <v>56</v>
      </c>
      <c r="D60" s="7" t="n">
        <v>7900</v>
      </c>
    </row>
    <row r="61">
      <c r="A61" s="5" t="n">
        <v>2024</v>
      </c>
      <c r="B61" s="6" t="inlineStr">
        <is>
          <t>Eylül</t>
        </is>
      </c>
      <c r="C61" s="5" t="n">
        <v>57</v>
      </c>
      <c r="D61" s="7" t="n">
        <v>6550</v>
      </c>
    </row>
    <row r="62">
      <c r="A62" s="5" t="n">
        <v>2024</v>
      </c>
      <c r="B62" s="6" t="inlineStr">
        <is>
          <t>Ekim</t>
        </is>
      </c>
      <c r="C62" s="5" t="n">
        <v>58</v>
      </c>
      <c r="D62" s="7" t="n">
        <v>6100</v>
      </c>
    </row>
    <row r="63">
      <c r="A63" s="5" t="n">
        <v>2024</v>
      </c>
      <c r="B63" s="6" t="inlineStr">
        <is>
          <t>Kasım</t>
        </is>
      </c>
      <c r="C63" s="5" t="n">
        <v>59</v>
      </c>
      <c r="D63" s="7" t="n">
        <v>6420</v>
      </c>
    </row>
    <row r="64">
      <c r="A64" s="5" t="n">
        <v>2024</v>
      </c>
      <c r="B64" s="6" t="inlineStr">
        <is>
          <t>Aralık</t>
        </is>
      </c>
      <c r="C64" s="5" t="n">
        <v>60</v>
      </c>
      <c r="D64" s="7" t="n">
        <v>6950</v>
      </c>
    </row>
    <row r="65">
      <c r="A65" s="8" t="n">
        <v>2025</v>
      </c>
      <c r="B65" s="9" t="inlineStr">
        <is>
          <t>Ocak</t>
        </is>
      </c>
      <c r="C65" s="8" t="n">
        <v>61</v>
      </c>
      <c r="D65" s="10" t="n">
        <v>7800</v>
      </c>
    </row>
    <row r="66">
      <c r="A66" s="8" t="n">
        <v>2025</v>
      </c>
      <c r="B66" s="9" t="inlineStr">
        <is>
          <t>Şubat</t>
        </is>
      </c>
      <c r="C66" s="8" t="n">
        <v>62</v>
      </c>
      <c r="D66" s="10" t="n">
        <v>7650</v>
      </c>
    </row>
    <row r="67">
      <c r="A67" s="8" t="n">
        <v>2025</v>
      </c>
      <c r="B67" s="9" t="inlineStr">
        <is>
          <t>Mart</t>
        </is>
      </c>
      <c r="C67" s="8" t="n">
        <v>63</v>
      </c>
      <c r="D67" s="10" t="n">
        <v>8400</v>
      </c>
    </row>
    <row r="68">
      <c r="A68" s="8" t="n">
        <v>2025</v>
      </c>
      <c r="B68" s="9" t="inlineStr">
        <is>
          <t>Nisan</t>
        </is>
      </c>
      <c r="C68" s="8" t="n">
        <v>64</v>
      </c>
      <c r="D68" s="10" t="n">
        <v>8950</v>
      </c>
    </row>
    <row r="69">
      <c r="A69" s="8" t="n">
        <v>2025</v>
      </c>
      <c r="B69" s="9" t="inlineStr">
        <is>
          <t>Mayıs</t>
        </is>
      </c>
      <c r="C69" s="8" t="n">
        <v>65</v>
      </c>
      <c r="D69" s="10" t="n">
        <v>9900</v>
      </c>
    </row>
    <row r="70">
      <c r="A70" s="8" t="n">
        <v>2025</v>
      </c>
      <c r="B70" s="9" t="inlineStr">
        <is>
          <t>Haziran</t>
        </is>
      </c>
      <c r="C70" s="8" t="n">
        <v>66</v>
      </c>
      <c r="D70" s="10" t="n">
        <v>12200</v>
      </c>
    </row>
    <row r="71">
      <c r="A71" s="8" t="n">
        <v>2025</v>
      </c>
      <c r="B71" s="9" t="inlineStr">
        <is>
          <t>Temmuz</t>
        </is>
      </c>
      <c r="C71" s="8" t="n">
        <v>67</v>
      </c>
      <c r="D71" s="10" t="n">
        <v>13950</v>
      </c>
    </row>
    <row r="72">
      <c r="A72" s="8" t="n">
        <v>2025</v>
      </c>
      <c r="B72" s="9" t="inlineStr">
        <is>
          <t>Ağustos</t>
        </is>
      </c>
      <c r="C72" s="8" t="n">
        <v>68</v>
      </c>
      <c r="D72" s="10" t="n">
        <v>14400</v>
      </c>
    </row>
    <row r="73">
      <c r="A73" s="8" t="n">
        <v>2025</v>
      </c>
      <c r="B73" s="9" t="inlineStr">
        <is>
          <t>Eylül</t>
        </is>
      </c>
      <c r="C73" s="8" t="n">
        <v>69</v>
      </c>
      <c r="D73" s="10" t="n">
        <v>11600</v>
      </c>
    </row>
    <row r="74">
      <c r="A74" s="8" t="n">
        <v>2025</v>
      </c>
      <c r="B74" s="9" t="inlineStr">
        <is>
          <t>Ekim</t>
        </is>
      </c>
      <c r="C74" s="8" t="n">
        <v>70</v>
      </c>
      <c r="D74" s="10" t="n">
        <v>10750</v>
      </c>
    </row>
    <row r="75">
      <c r="A75" s="8" t="n">
        <v>2025</v>
      </c>
      <c r="B75" s="9" t="inlineStr">
        <is>
          <t>Kasım</t>
        </is>
      </c>
      <c r="C75" s="8" t="n">
        <v>71</v>
      </c>
      <c r="D75" s="10" t="n">
        <v>11400</v>
      </c>
    </row>
    <row r="76">
      <c r="A76" s="8" t="n">
        <v>2025</v>
      </c>
      <c r="B76" s="9" t="inlineStr">
        <is>
          <t>Aralık</t>
        </is>
      </c>
      <c r="C76" s="8" t="n">
        <v>72</v>
      </c>
      <c r="D76" s="10" t="n">
        <v>12500</v>
      </c>
    </row>
    <row r="77">
      <c r="A77" s="11" t="inlineStr">
        <is>
          <t>Toplam / Özet</t>
        </is>
      </c>
      <c r="B77" s="12" t="n"/>
      <c r="C77" s="12" t="n"/>
      <c r="D77" s="13">
        <f>SUM(D5:D76)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showGridLines="1" workbookViewId="0">
      <selection activeCell="A1" sqref="A1"/>
    </sheetView>
  </sheetViews>
  <sheetFormatPr baseColWidth="8" defaultRowHeight="15"/>
  <cols>
    <col width="40" customWidth="1" min="1" max="1"/>
    <col width="45" customWidth="1" min="2" max="2"/>
    <col width="58" customWidth="1" min="3" max="3"/>
  </cols>
  <sheetData>
    <row r="1">
      <c r="A1" s="1" t="inlineStr">
        <is>
          <t>Zaman Serisi Betimsel İstatistikleri</t>
        </is>
      </c>
    </row>
    <row r="2"/>
    <row r="3">
      <c r="A3" s="14" t="inlineStr">
        <is>
          <t>Metrik</t>
        </is>
      </c>
      <c r="B3" s="15" t="inlineStr">
        <is>
          <t>Değer (MWh)</t>
        </is>
      </c>
      <c r="C3" s="14" t="inlineStr">
        <is>
          <t>Açıklama</t>
        </is>
      </c>
    </row>
    <row r="4">
      <c r="A4" s="9" t="inlineStr">
        <is>
          <t>Toplam Tüketim</t>
        </is>
      </c>
      <c r="B4" s="10">
        <f>'Zaman Serisi Veri Seti'!D77</f>
        <v/>
      </c>
      <c r="C4" s="9" t="inlineStr">
        <is>
          <t>72 aylık kümülatif yapay zekâ iş yükü enerji tüketimi</t>
        </is>
      </c>
    </row>
    <row r="5">
      <c r="A5" s="9" t="inlineStr">
        <is>
          <t>Ortalama Aylık Tüketim</t>
        </is>
      </c>
      <c r="B5" s="10">
        <f>AVERAGE('Zaman Serisi Veri Seti'!D5:D76)</f>
        <v/>
      </c>
      <c r="C5" s="9" t="inlineStr">
        <is>
          <t>Aylık bazda gerçekleşen aritmetik ortalama</t>
        </is>
      </c>
    </row>
    <row r="6">
      <c r="A6" s="9" t="inlineStr">
        <is>
          <t>Medyan Tüketim</t>
        </is>
      </c>
      <c r="B6" s="10">
        <f>MEDIAN('Zaman Serisi Veri Seti'!D5:D76)</f>
        <v/>
      </c>
      <c r="C6" s="9" t="inlineStr">
        <is>
          <t>Serinin orta noktası (Eksponansiyel eğilim göstergesi)</t>
        </is>
      </c>
    </row>
    <row r="7">
      <c r="A7" s="9" t="inlineStr">
        <is>
          <t>Minimum Aylık Tüketim</t>
        </is>
      </c>
      <c r="B7" s="10">
        <f>MIN('Zaman Serisi Veri Seti'!D5:D76)</f>
        <v/>
      </c>
      <c r="C7" s="9" t="inlineStr">
        <is>
          <t>Seri içindeki en düşük tüketim (Şubat 2020)</t>
        </is>
      </c>
    </row>
    <row r="8">
      <c r="A8" s="9" t="inlineStr">
        <is>
          <t>Maksimum Aylık Tüketim</t>
        </is>
      </c>
      <c r="B8" s="10">
        <f>MAX('Zaman Serisi Veri Seti'!D5:D76)</f>
        <v/>
      </c>
      <c r="C8" s="9" t="inlineStr">
        <is>
          <t>Seri içindeki en yüksek tüketim piki (Ağustos 2025)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2026-06-12T16:53:46Z</dcterms:created>
  <dcterms:modified xmlns:dcterms="http://purl.org/dc/terms/" xmlns:xsi="http://www.w3.org/2001/XMLSchema-instance" xsi:type="dcterms:W3CDTF">2026-06-12T16:53:46Z</dcterms:modified>
</cp:coreProperties>
</file>